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8700"/>
  </bookViews>
  <sheets>
    <sheet name="Leistungsberechnung" sheetId="1" r:id="rId1"/>
    <sheet name="Nebenrechnung Sys. Euroval" sheetId="2" r:id="rId2"/>
    <sheet name="Wärmeverlust nach unten" sheetId="3" r:id="rId3"/>
  </sheets>
  <calcPr calcId="145621"/>
</workbook>
</file>

<file path=xl/calcChain.xml><?xml version="1.0" encoding="utf-8"?>
<calcChain xmlns="http://schemas.openxmlformats.org/spreadsheetml/2006/main">
  <c r="E9" i="1" l="1"/>
  <c r="C11" i="1"/>
  <c r="B14" i="2"/>
  <c r="B20" i="2"/>
  <c r="B27" i="2"/>
  <c r="B34" i="2"/>
  <c r="B3" i="3"/>
  <c r="B16" i="3" s="1"/>
  <c r="B6" i="3"/>
  <c r="B9" i="3"/>
  <c r="B17" i="3"/>
  <c r="B10" i="3"/>
  <c r="B11" i="3"/>
  <c r="B13" i="3"/>
  <c r="B41" i="2" l="1"/>
  <c r="B46" i="2" s="1"/>
  <c r="C13" i="1" s="1"/>
  <c r="C14" i="1" l="1"/>
  <c r="B29" i="3"/>
  <c r="C31" i="3" s="1"/>
  <c r="C33" i="3" s="1"/>
  <c r="C16" i="1"/>
  <c r="C18" i="1" s="1"/>
  <c r="B19" i="3" s="1"/>
  <c r="B25" i="3" s="1"/>
  <c r="B38" i="3" l="1"/>
</calcChain>
</file>

<file path=xl/sharedStrings.xml><?xml version="1.0" encoding="utf-8"?>
<sst xmlns="http://schemas.openxmlformats.org/spreadsheetml/2006/main" count="139" uniqueCount="102">
  <si>
    <t>Berechnung FBH nach EN1264</t>
  </si>
  <si>
    <t>Eingabedaten</t>
  </si>
  <si>
    <t>Vorlauftemperatur</t>
  </si>
  <si>
    <t>Rücklauftemperatur</t>
  </si>
  <si>
    <t>Raumtemperatur</t>
  </si>
  <si>
    <t>Berechnungsdaten:</t>
  </si>
  <si>
    <t>Heizmitteltemperatur</t>
  </si>
  <si>
    <t>Einheit</t>
  </si>
  <si>
    <t>°C</t>
  </si>
  <si>
    <t>K</t>
  </si>
  <si>
    <t>systemabhängiger Koeffizient</t>
  </si>
  <si>
    <t>B</t>
  </si>
  <si>
    <t>W/m²K</t>
  </si>
  <si>
    <t>Potenzprodukt FB-Aufbau</t>
  </si>
  <si>
    <r>
      <t>Π(a</t>
    </r>
    <r>
      <rPr>
        <vertAlign val="superscript"/>
        <sz val="10"/>
        <rFont val="Harreither Light"/>
      </rPr>
      <t>m</t>
    </r>
    <r>
      <rPr>
        <sz val="10"/>
        <rFont val="Harreither Light"/>
      </rPr>
      <t>)</t>
    </r>
  </si>
  <si>
    <t>Berechnungsschritt:</t>
  </si>
  <si>
    <t>Potenzprodukt innerhalb des Estrichs:</t>
  </si>
  <si>
    <r>
      <t>Notwendige Daten: a</t>
    </r>
    <r>
      <rPr>
        <vertAlign val="subscript"/>
        <sz val="10"/>
        <rFont val="Harreither Light"/>
      </rPr>
      <t>b</t>
    </r>
    <r>
      <rPr>
        <sz val="10"/>
        <rFont val="Harreither Light"/>
      </rPr>
      <t>, a</t>
    </r>
    <r>
      <rPr>
        <vertAlign val="subscript"/>
        <sz val="10"/>
        <rFont val="Harreither Light"/>
      </rPr>
      <t>T</t>
    </r>
    <r>
      <rPr>
        <sz val="10"/>
        <rFont val="Harreither Light"/>
      </rPr>
      <t>, m</t>
    </r>
    <r>
      <rPr>
        <vertAlign val="subscript"/>
        <sz val="10"/>
        <rFont val="Harreither Light"/>
      </rPr>
      <t>T</t>
    </r>
    <r>
      <rPr>
        <sz val="10"/>
        <rFont val="Harreither Light"/>
      </rPr>
      <t>, a</t>
    </r>
    <r>
      <rPr>
        <vertAlign val="subscript"/>
        <sz val="10"/>
        <rFont val="Harreither Light"/>
      </rPr>
      <t>u</t>
    </r>
    <r>
      <rPr>
        <sz val="10"/>
        <rFont val="Harreither Light"/>
      </rPr>
      <t>, m</t>
    </r>
    <r>
      <rPr>
        <vertAlign val="subscript"/>
        <sz val="10"/>
        <rFont val="Harreither Light"/>
      </rPr>
      <t>u</t>
    </r>
    <r>
      <rPr>
        <sz val="10"/>
        <rFont val="Harreither Light"/>
      </rPr>
      <t>, a</t>
    </r>
    <r>
      <rPr>
        <vertAlign val="subscript"/>
        <sz val="10"/>
        <rFont val="Harreither Light"/>
      </rPr>
      <t>D</t>
    </r>
    <r>
      <rPr>
        <sz val="10"/>
        <rFont val="Harreither Light"/>
      </rPr>
      <t>, m</t>
    </r>
    <r>
      <rPr>
        <vertAlign val="subscript"/>
        <sz val="10"/>
        <rFont val="Harreither Light"/>
      </rPr>
      <t>D</t>
    </r>
  </si>
  <si>
    <r>
      <t>Berechnung von a</t>
    </r>
    <r>
      <rPr>
        <vertAlign val="subscript"/>
        <sz val="10"/>
        <rFont val="Harreither Light"/>
      </rPr>
      <t>b</t>
    </r>
  </si>
  <si>
    <t>α</t>
  </si>
  <si>
    <r>
      <t>s</t>
    </r>
    <r>
      <rPr>
        <vertAlign val="subscript"/>
        <sz val="10"/>
        <rFont val="Harreither Light"/>
      </rPr>
      <t>u,0</t>
    </r>
  </si>
  <si>
    <r>
      <t>λ</t>
    </r>
    <r>
      <rPr>
        <vertAlign val="subscript"/>
        <sz val="10"/>
        <rFont val="Harreither Light"/>
      </rPr>
      <t>u,0</t>
    </r>
  </si>
  <si>
    <r>
      <t>λ</t>
    </r>
    <r>
      <rPr>
        <vertAlign val="subscript"/>
        <sz val="10"/>
        <rFont val="Harreither Light"/>
      </rPr>
      <t>E</t>
    </r>
  </si>
  <si>
    <r>
      <t>R</t>
    </r>
    <r>
      <rPr>
        <vertAlign val="subscript"/>
        <sz val="10"/>
        <rFont val="Harreither Light"/>
      </rPr>
      <t>λ,B</t>
    </r>
  </si>
  <si>
    <t>m</t>
  </si>
  <si>
    <t>Mindestüberdeckung</t>
  </si>
  <si>
    <t>(0,035?)</t>
  </si>
  <si>
    <t>W/(m²K)</t>
  </si>
  <si>
    <t>für FBH</t>
  </si>
  <si>
    <t>W/(mK)</t>
  </si>
  <si>
    <t>Estrichleitfähigkeit</t>
  </si>
  <si>
    <t>(m²K)/W</t>
  </si>
  <si>
    <t>Fußbodenbelag</t>
  </si>
  <si>
    <t>variabler Wert</t>
  </si>
  <si>
    <r>
      <t>a</t>
    </r>
    <r>
      <rPr>
        <vertAlign val="subscript"/>
        <sz val="10"/>
        <rFont val="Harreither Light"/>
      </rPr>
      <t>b</t>
    </r>
  </si>
  <si>
    <r>
      <t>a</t>
    </r>
    <r>
      <rPr>
        <vertAlign val="subscript"/>
        <sz val="10"/>
        <rFont val="Harreither Light"/>
      </rPr>
      <t>T</t>
    </r>
  </si>
  <si>
    <t>aus Tabelle A.1</t>
  </si>
  <si>
    <r>
      <t>m</t>
    </r>
    <r>
      <rPr>
        <vertAlign val="subscript"/>
        <sz val="10"/>
        <rFont val="Harreither Light"/>
      </rPr>
      <t>T</t>
    </r>
  </si>
  <si>
    <t>T</t>
  </si>
  <si>
    <t>Rohrteilung</t>
  </si>
  <si>
    <r>
      <t>a</t>
    </r>
    <r>
      <rPr>
        <vertAlign val="subscript"/>
        <sz val="10"/>
        <rFont val="Harreither Light"/>
      </rPr>
      <t>U</t>
    </r>
  </si>
  <si>
    <t>aus Tabelle A.2</t>
  </si>
  <si>
    <r>
      <t>s</t>
    </r>
    <r>
      <rPr>
        <vertAlign val="subscript"/>
        <sz val="10"/>
        <rFont val="Harreither Light"/>
      </rPr>
      <t>U</t>
    </r>
  </si>
  <si>
    <t>Estrichüberdeckung</t>
  </si>
  <si>
    <r>
      <t>m</t>
    </r>
    <r>
      <rPr>
        <vertAlign val="subscript"/>
        <sz val="10"/>
        <rFont val="Harreither Light"/>
      </rPr>
      <t>U</t>
    </r>
  </si>
  <si>
    <r>
      <t>a</t>
    </r>
    <r>
      <rPr>
        <vertAlign val="subscript"/>
        <sz val="10"/>
        <rFont val="Harreither Light"/>
      </rPr>
      <t>D</t>
    </r>
  </si>
  <si>
    <t>aus Tabelle A.3</t>
  </si>
  <si>
    <t>D</t>
  </si>
  <si>
    <t>Außendurchmesser des Rohres.</t>
  </si>
  <si>
    <r>
      <t>m</t>
    </r>
    <r>
      <rPr>
        <vertAlign val="subscript"/>
        <sz val="10"/>
        <rFont val="Harreither Light"/>
      </rPr>
      <t>D</t>
    </r>
  </si>
  <si>
    <t>Achtung gilt nur für Rundrohre</t>
  </si>
  <si>
    <t>Potenzprodukt:</t>
  </si>
  <si>
    <t>Berechnung von B: systemabhängigier Koeffizient</t>
  </si>
  <si>
    <r>
      <t>s</t>
    </r>
    <r>
      <rPr>
        <vertAlign val="subscript"/>
        <sz val="10"/>
        <rFont val="Harreither Light"/>
      </rPr>
      <t>R</t>
    </r>
  </si>
  <si>
    <t>für PP Rohr laut Tabelle A.13</t>
  </si>
  <si>
    <r>
      <t>λ</t>
    </r>
    <r>
      <rPr>
        <vertAlign val="subscript"/>
        <sz val="10"/>
        <rFont val="Harreither Light"/>
      </rPr>
      <t>R</t>
    </r>
  </si>
  <si>
    <t>Kennlinie KH:</t>
  </si>
  <si>
    <r>
      <t>K</t>
    </r>
    <r>
      <rPr>
        <vertAlign val="subscript"/>
        <sz val="10"/>
        <rFont val="Harreither Light"/>
      </rPr>
      <t>H</t>
    </r>
  </si>
  <si>
    <t>Wärmestromdichte</t>
  </si>
  <si>
    <t>q</t>
  </si>
  <si>
    <r>
      <t>θ</t>
    </r>
    <r>
      <rPr>
        <vertAlign val="subscript"/>
        <sz val="10"/>
        <rFont val="Harreither Light"/>
      </rPr>
      <t>V</t>
    </r>
  </si>
  <si>
    <r>
      <t>θ</t>
    </r>
    <r>
      <rPr>
        <vertAlign val="subscript"/>
        <sz val="10"/>
        <rFont val="Harreither Light"/>
      </rPr>
      <t>R</t>
    </r>
  </si>
  <si>
    <r>
      <t>θ</t>
    </r>
    <r>
      <rPr>
        <vertAlign val="subscript"/>
        <sz val="10"/>
        <rFont val="Harreither Light"/>
      </rPr>
      <t>i</t>
    </r>
  </si>
  <si>
    <r>
      <t>Δθ</t>
    </r>
    <r>
      <rPr>
        <vertAlign val="subscript"/>
        <sz val="10"/>
        <rFont val="Harreither Light"/>
      </rPr>
      <t>H</t>
    </r>
  </si>
  <si>
    <t>Aus Euroval Normprüfdaten</t>
  </si>
  <si>
    <t>Berechnungsschritt Siehe Nebenrechnung Sys. Euroval</t>
  </si>
  <si>
    <t>Eingabedaten:</t>
  </si>
  <si>
    <r>
      <t>λ</t>
    </r>
    <r>
      <rPr>
        <vertAlign val="subscript"/>
        <sz val="10"/>
        <rFont val="Harreither Light"/>
      </rPr>
      <t>U</t>
    </r>
  </si>
  <si>
    <t>Wärmeleitfähigkeit der Überdeckung</t>
  </si>
  <si>
    <r>
      <t>R</t>
    </r>
    <r>
      <rPr>
        <vertAlign val="subscript"/>
        <sz val="10"/>
        <rFont val="Harreither Light"/>
      </rPr>
      <t>α,Decke</t>
    </r>
  </si>
  <si>
    <t>Wärmeübergang Decke</t>
  </si>
  <si>
    <r>
      <t>R</t>
    </r>
    <r>
      <rPr>
        <vertAlign val="subscript"/>
        <sz val="10"/>
        <rFont val="Harreither Light"/>
      </rPr>
      <t>λ,Ins</t>
    </r>
  </si>
  <si>
    <r>
      <t>R</t>
    </r>
    <r>
      <rPr>
        <vertAlign val="subscript"/>
        <sz val="10"/>
        <rFont val="Harreither Light"/>
      </rPr>
      <t>λ,Decke</t>
    </r>
  </si>
  <si>
    <r>
      <t>R</t>
    </r>
    <r>
      <rPr>
        <vertAlign val="subscript"/>
        <sz val="10"/>
        <rFont val="Harreither Light"/>
      </rPr>
      <t>λ,Putz</t>
    </r>
  </si>
  <si>
    <t>z.B. 25cm Stahlbeton</t>
  </si>
  <si>
    <t>z.B. 5cm Isolierung</t>
  </si>
  <si>
    <t>z.B. 1,5cm Putz</t>
  </si>
  <si>
    <r>
      <t>θ</t>
    </r>
    <r>
      <rPr>
        <vertAlign val="subscript"/>
        <sz val="10"/>
        <rFont val="Harreither Light"/>
      </rPr>
      <t>u</t>
    </r>
  </si>
  <si>
    <t>Rauminnentemperatur</t>
  </si>
  <si>
    <t>Rauminnentemperatur des Raumes unterhalb</t>
  </si>
  <si>
    <r>
      <t>R</t>
    </r>
    <r>
      <rPr>
        <vertAlign val="subscript"/>
        <sz val="10"/>
        <rFont val="Harreither Light"/>
      </rPr>
      <t>O</t>
    </r>
  </si>
  <si>
    <r>
      <t>R</t>
    </r>
    <r>
      <rPr>
        <vertAlign val="subscript"/>
        <sz val="10"/>
        <rFont val="Harreither Light"/>
      </rPr>
      <t>U</t>
    </r>
  </si>
  <si>
    <t>Durchgangswiderstand nach oben</t>
  </si>
  <si>
    <t>Durchgangswiderstand nach unten</t>
  </si>
  <si>
    <r>
      <t>q</t>
    </r>
    <r>
      <rPr>
        <vertAlign val="subscript"/>
        <sz val="10"/>
        <rFont val="Harreither Light"/>
      </rPr>
      <t>U</t>
    </r>
  </si>
  <si>
    <t>W/m²</t>
  </si>
  <si>
    <t>spezifischer Wärmeverlust nach unten</t>
  </si>
  <si>
    <t>Korrektur der Leistung in Abhängigkeit des Wärmeverlustes nach unten</t>
  </si>
  <si>
    <t>Im ersten Rechenschritt werden 10% angenommen!</t>
  </si>
  <si>
    <t>Dadurch muss bei B die Korrektur in die Gleichung einfließen! Näherung!!</t>
  </si>
  <si>
    <t>Die Leistung sinkt als um 0,09 W/m²</t>
  </si>
  <si>
    <r>
      <t>q</t>
    </r>
    <r>
      <rPr>
        <vertAlign val="subscript"/>
        <sz val="10"/>
        <rFont val="Harreither Light"/>
      </rPr>
      <t>ges</t>
    </r>
  </si>
  <si>
    <t>gesamte aufgenommene Leistung</t>
  </si>
  <si>
    <t>Dies bedeutet, dass die Näherung praktisch vernachlässigt werden kann.</t>
  </si>
  <si>
    <t>Fixwert für FBH</t>
  </si>
  <si>
    <t>für FBK</t>
  </si>
  <si>
    <r>
      <t>α</t>
    </r>
    <r>
      <rPr>
        <vertAlign val="subscript"/>
        <sz val="10"/>
        <rFont val="Harreither Light"/>
      </rPr>
      <t>0</t>
    </r>
  </si>
  <si>
    <r>
      <t>a</t>
    </r>
    <r>
      <rPr>
        <vertAlign val="subscript"/>
        <sz val="10"/>
        <rFont val="Harreither Light"/>
      </rPr>
      <t>G</t>
    </r>
  </si>
  <si>
    <t>Der Ovalrohr-Geometriefaktor muss wegschaltbar sein!</t>
  </si>
  <si>
    <t>(Jumboval über Oberfläche auf Rundrohr zurückgerechnet.)</t>
  </si>
  <si>
    <t>Ovalrohr-Geometriefaktor für Jumboval (nicht in der Norm enthalten!!)</t>
  </si>
  <si>
    <t>MUSS NOCH ÜBERPRÜFT WERDEN!!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</si>
</sst>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"/>
    <numFmt numFmtId="165" formatCode="0.0%"/>
  </numFmts>
  <fonts count="5" x14ac:knownFonts="1">
    <font>
      <sz val="10"/>
      <name val="Harreither Light"/>
    </font>
    <font>
      <sz val="10"/>
      <name val="Harreither Light"/>
    </font>
    <font>
      <vertAlign val="superscript"/>
      <sz val="10"/>
      <name val="Harreither Light"/>
    </font>
    <font>
      <vertAlign val="subscript"/>
      <sz val="10"/>
      <name val="Harreither Light"/>
    </font>
    <font>
      <b/>
      <sz val="10"/>
      <name val="Harreither Light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1" fontId="0" fillId="2" borderId="0" xfId="0" applyNumberFormat="1" applyFill="1"/>
    <xf numFmtId="164" fontId="0" fillId="2" borderId="0" xfId="0" applyNumberFormat="1" applyFill="1"/>
    <xf numFmtId="0" fontId="4" fillId="0" borderId="0" xfId="0" applyFont="1"/>
    <xf numFmtId="0" fontId="4" fillId="2" borderId="0" xfId="0" applyFont="1" applyFill="1"/>
    <xf numFmtId="2" fontId="4" fillId="0" borderId="0" xfId="0" applyNumberFormat="1" applyFont="1"/>
    <xf numFmtId="2" fontId="0" fillId="4" borderId="0" xfId="0" applyNumberFormat="1" applyFill="1"/>
    <xf numFmtId="2" fontId="0" fillId="2" borderId="0" xfId="0" applyNumberFormat="1" applyFill="1"/>
    <xf numFmtId="165" fontId="0" fillId="0" borderId="0" xfId="1" applyNumberFormat="1" applyFont="1"/>
    <xf numFmtId="2" fontId="0" fillId="0" borderId="0" xfId="0" applyNumberForma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C8" sqref="C8"/>
    </sheetView>
  </sheetViews>
  <sheetFormatPr baseColWidth="10" defaultRowHeight="12.75" x14ac:dyDescent="0.2"/>
  <cols>
    <col min="1" max="1" width="20.21875" customWidth="1"/>
    <col min="2" max="2" width="4.88671875" customWidth="1"/>
    <col min="4" max="4" width="5.21875" customWidth="1"/>
  </cols>
  <sheetData>
    <row r="1" spans="1:6" x14ac:dyDescent="0.2">
      <c r="A1" t="s">
        <v>0</v>
      </c>
    </row>
    <row r="3" spans="1:6" x14ac:dyDescent="0.2">
      <c r="A3" t="s">
        <v>1</v>
      </c>
      <c r="D3" t="s">
        <v>7</v>
      </c>
    </row>
    <row r="4" spans="1:6" x14ac:dyDescent="0.2">
      <c r="A4" s="1" t="s">
        <v>5</v>
      </c>
    </row>
    <row r="5" spans="1:6" x14ac:dyDescent="0.2">
      <c r="A5" s="3" t="s">
        <v>15</v>
      </c>
    </row>
    <row r="6" spans="1:6" x14ac:dyDescent="0.2">
      <c r="A6" s="2"/>
    </row>
    <row r="7" spans="1:6" ht="13.5" customHeight="1" x14ac:dyDescent="0.2">
      <c r="A7" s="2"/>
    </row>
    <row r="8" spans="1:6" ht="14.25" x14ac:dyDescent="0.25">
      <c r="A8" t="s">
        <v>2</v>
      </c>
      <c r="B8" t="s">
        <v>60</v>
      </c>
      <c r="C8">
        <v>28</v>
      </c>
      <c r="D8" t="s">
        <v>8</v>
      </c>
    </row>
    <row r="9" spans="1:6" ht="14.25" x14ac:dyDescent="0.25">
      <c r="A9" t="s">
        <v>3</v>
      </c>
      <c r="B9" t="s">
        <v>61</v>
      </c>
      <c r="C9">
        <v>22</v>
      </c>
      <c r="D9" t="s">
        <v>8</v>
      </c>
      <c r="E9">
        <f>(C8+C9)/2</f>
        <v>25</v>
      </c>
    </row>
    <row r="10" spans="1:6" ht="14.25" x14ac:dyDescent="0.25">
      <c r="A10" t="s">
        <v>4</v>
      </c>
      <c r="B10" t="s">
        <v>62</v>
      </c>
      <c r="C10">
        <v>15</v>
      </c>
      <c r="D10" t="s">
        <v>8</v>
      </c>
    </row>
    <row r="11" spans="1:6" ht="14.25" x14ac:dyDescent="0.25">
      <c r="A11" s="1" t="s">
        <v>6</v>
      </c>
      <c r="B11" t="s">
        <v>63</v>
      </c>
      <c r="C11">
        <f>(C8-C9)/(LN((C8-C10)/(C9-C10)))</f>
        <v>9.6924393778668438</v>
      </c>
      <c r="D11" t="s">
        <v>9</v>
      </c>
      <c r="F11" s="13"/>
    </row>
    <row r="13" spans="1:6" x14ac:dyDescent="0.2">
      <c r="A13" s="3" t="s">
        <v>10</v>
      </c>
      <c r="B13" t="s">
        <v>11</v>
      </c>
      <c r="C13">
        <f>'Nebenrechnung Sys. Euroval'!B46</f>
        <v>6.1853520594588085</v>
      </c>
      <c r="D13" t="s">
        <v>12</v>
      </c>
      <c r="E13" t="s">
        <v>65</v>
      </c>
    </row>
    <row r="14" spans="1:6" ht="15" x14ac:dyDescent="0.2">
      <c r="A14" s="3" t="s">
        <v>13</v>
      </c>
      <c r="B14" t="s">
        <v>14</v>
      </c>
      <c r="C14">
        <f>'Nebenrechnung Sys. Euroval'!B41</f>
        <v>0.87838306829404311</v>
      </c>
      <c r="E14" t="s">
        <v>65</v>
      </c>
    </row>
    <row r="16" spans="1:6" ht="14.25" x14ac:dyDescent="0.25">
      <c r="A16" s="1" t="s">
        <v>56</v>
      </c>
      <c r="B16" t="s">
        <v>57</v>
      </c>
      <c r="C16">
        <f>C13*C14</f>
        <v>5.4331085204663072</v>
      </c>
    </row>
    <row r="18" spans="1:4" x14ac:dyDescent="0.2">
      <c r="A18" s="8" t="s">
        <v>58</v>
      </c>
      <c r="B18" s="7" t="s">
        <v>59</v>
      </c>
      <c r="C18" s="9">
        <f>C16*C11</f>
        <v>52.660074967991505</v>
      </c>
      <c r="D18" s="7" t="s">
        <v>85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B36" sqref="B36"/>
    </sheetView>
  </sheetViews>
  <sheetFormatPr baseColWidth="10" defaultRowHeight="12.75" x14ac:dyDescent="0.2"/>
  <cols>
    <col min="4" max="4" width="15.6640625" customWidth="1"/>
    <col min="5" max="5" width="12.77734375" customWidth="1"/>
  </cols>
  <sheetData>
    <row r="1" spans="1:5" x14ac:dyDescent="0.2">
      <c r="A1" t="s">
        <v>16</v>
      </c>
    </row>
    <row r="2" spans="1:5" x14ac:dyDescent="0.2">
      <c r="E2" s="1" t="s">
        <v>5</v>
      </c>
    </row>
    <row r="3" spans="1:5" ht="14.25" x14ac:dyDescent="0.25">
      <c r="A3" t="s">
        <v>17</v>
      </c>
      <c r="E3" s="4" t="s">
        <v>33</v>
      </c>
    </row>
    <row r="5" spans="1:5" ht="14.25" x14ac:dyDescent="0.25">
      <c r="A5" t="s">
        <v>18</v>
      </c>
    </row>
    <row r="7" spans="1:5" ht="14.25" x14ac:dyDescent="0.25">
      <c r="A7" t="s">
        <v>20</v>
      </c>
      <c r="B7">
        <v>4.4999999999999998E-2</v>
      </c>
      <c r="C7" t="s">
        <v>24</v>
      </c>
      <c r="D7" t="s">
        <v>25</v>
      </c>
      <c r="E7" t="s">
        <v>26</v>
      </c>
    </row>
    <row r="8" spans="1:5" x14ac:dyDescent="0.2">
      <c r="A8" t="s">
        <v>19</v>
      </c>
      <c r="B8">
        <v>10.8</v>
      </c>
      <c r="C8" t="s">
        <v>27</v>
      </c>
      <c r="D8" t="s">
        <v>95</v>
      </c>
    </row>
    <row r="9" spans="1:5" ht="14.25" x14ac:dyDescent="0.25">
      <c r="A9" t="s">
        <v>96</v>
      </c>
      <c r="B9">
        <v>10.8</v>
      </c>
      <c r="C9" t="s">
        <v>27</v>
      </c>
      <c r="D9" t="s">
        <v>94</v>
      </c>
    </row>
    <row r="10" spans="1:5" ht="14.25" x14ac:dyDescent="0.25">
      <c r="A10" t="s">
        <v>21</v>
      </c>
      <c r="B10">
        <v>1</v>
      </c>
      <c r="C10" t="s">
        <v>29</v>
      </c>
    </row>
    <row r="11" spans="1:5" ht="14.25" x14ac:dyDescent="0.25">
      <c r="A11" t="s">
        <v>22</v>
      </c>
      <c r="B11">
        <v>2.2999999999999998</v>
      </c>
      <c r="C11" t="s">
        <v>29</v>
      </c>
      <c r="D11" t="s">
        <v>30</v>
      </c>
    </row>
    <row r="12" spans="1:5" ht="14.25" x14ac:dyDescent="0.25">
      <c r="A12" s="4" t="s">
        <v>23</v>
      </c>
      <c r="B12" s="4">
        <v>0</v>
      </c>
      <c r="C12" s="4" t="s">
        <v>31</v>
      </c>
      <c r="D12" s="4" t="s">
        <v>32</v>
      </c>
    </row>
    <row r="14" spans="1:5" ht="14.25" x14ac:dyDescent="0.25">
      <c r="A14" s="1" t="s">
        <v>34</v>
      </c>
      <c r="B14" s="1">
        <f>((1/B9)+(B7/B10))/((1/B8)+(B7/B11)+B12)</f>
        <v>1.2267767408470927</v>
      </c>
    </row>
    <row r="16" spans="1:5" ht="14.25" x14ac:dyDescent="0.25">
      <c r="A16" s="1" t="s">
        <v>35</v>
      </c>
      <c r="B16" s="1">
        <v>1.23</v>
      </c>
      <c r="C16" s="1" t="s">
        <v>36</v>
      </c>
      <c r="D16" s="1"/>
    </row>
    <row r="18" spans="1:5" x14ac:dyDescent="0.2">
      <c r="A18" s="4" t="s">
        <v>38</v>
      </c>
      <c r="B18" s="4">
        <v>0.2</v>
      </c>
      <c r="C18" s="4" t="s">
        <v>39</v>
      </c>
    </row>
    <row r="20" spans="1:5" ht="14.25" x14ac:dyDescent="0.25">
      <c r="A20" s="1" t="s">
        <v>37</v>
      </c>
      <c r="B20" s="1">
        <f>1-B18/0.075</f>
        <v>-1.666666666666667</v>
      </c>
    </row>
    <row r="23" spans="1:5" ht="14.25" x14ac:dyDescent="0.25">
      <c r="A23" s="1" t="s">
        <v>40</v>
      </c>
      <c r="B23" s="1">
        <v>1.0509999999999999</v>
      </c>
      <c r="C23" s="1" t="s">
        <v>41</v>
      </c>
      <c r="D23" s="1"/>
    </row>
    <row r="25" spans="1:5" ht="14.25" x14ac:dyDescent="0.25">
      <c r="A25" s="4" t="s">
        <v>42</v>
      </c>
      <c r="B25" s="4">
        <v>0.1</v>
      </c>
      <c r="C25" s="4" t="s">
        <v>43</v>
      </c>
    </row>
    <row r="27" spans="1:5" ht="14.25" x14ac:dyDescent="0.25">
      <c r="A27" s="1" t="s">
        <v>44</v>
      </c>
      <c r="B27" s="5">
        <f>100*(0.045-B25)</f>
        <v>-5.5000000000000009</v>
      </c>
    </row>
    <row r="30" spans="1:5" ht="14.25" x14ac:dyDescent="0.25">
      <c r="A30" s="1" t="s">
        <v>45</v>
      </c>
      <c r="B30" s="1">
        <v>1.046</v>
      </c>
      <c r="C30" s="1" t="s">
        <v>46</v>
      </c>
      <c r="D30" s="1"/>
    </row>
    <row r="32" spans="1:5" x14ac:dyDescent="0.2">
      <c r="A32" t="s">
        <v>47</v>
      </c>
      <c r="B32">
        <v>2.8170000000000001E-2</v>
      </c>
      <c r="C32" t="s">
        <v>48</v>
      </c>
      <c r="E32" t="s">
        <v>99</v>
      </c>
    </row>
    <row r="33" spans="1:5" x14ac:dyDescent="0.2">
      <c r="E33" t="s">
        <v>101</v>
      </c>
    </row>
    <row r="34" spans="1:5" ht="14.25" x14ac:dyDescent="0.25">
      <c r="A34" s="1" t="s">
        <v>49</v>
      </c>
      <c r="B34" s="6">
        <f>250*(B32-0.02)</f>
        <v>2.0425</v>
      </c>
      <c r="C34" t="s">
        <v>50</v>
      </c>
    </row>
    <row r="36" spans="1:5" ht="14.25" x14ac:dyDescent="0.25">
      <c r="A36" s="1" t="s">
        <v>97</v>
      </c>
      <c r="B36" s="1">
        <v>1.2124999999999999</v>
      </c>
      <c r="C36" s="1" t="s">
        <v>100</v>
      </c>
      <c r="D36" s="1"/>
    </row>
    <row r="37" spans="1:5" x14ac:dyDescent="0.2">
      <c r="C37" t="s">
        <v>98</v>
      </c>
    </row>
    <row r="39" spans="1:5" x14ac:dyDescent="0.2">
      <c r="A39" t="s">
        <v>51</v>
      </c>
    </row>
    <row r="41" spans="1:5" ht="15" x14ac:dyDescent="0.2">
      <c r="A41" s="3" t="s">
        <v>14</v>
      </c>
      <c r="B41" s="3">
        <f>B14*POWER(B16,B20)*POWER(B23,B27)*POWER(B30,B34)*B36</f>
        <v>0.87838306829404311</v>
      </c>
    </row>
    <row r="44" spans="1:5" x14ac:dyDescent="0.2">
      <c r="A44" t="s">
        <v>52</v>
      </c>
    </row>
    <row r="46" spans="1:5" x14ac:dyDescent="0.2">
      <c r="A46" s="3" t="s">
        <v>11</v>
      </c>
      <c r="B46" s="3">
        <f>1/((1/6.7)+((1.1/PI())*B41*B18*((1/(2*B50))*LN(B32/(B32-2*B48))-(1/(2*0.35))*LN(B32/(B32-2*0.002)))))</f>
        <v>6.1853520594588085</v>
      </c>
    </row>
    <row r="48" spans="1:5" ht="14.25" x14ac:dyDescent="0.25">
      <c r="A48" s="2" t="s">
        <v>53</v>
      </c>
      <c r="B48">
        <v>2.3800000000000002E-3</v>
      </c>
      <c r="C48" t="s">
        <v>64</v>
      </c>
    </row>
    <row r="50" spans="1:3" ht="14.25" x14ac:dyDescent="0.25">
      <c r="A50" t="s">
        <v>55</v>
      </c>
      <c r="B50">
        <v>0.22</v>
      </c>
      <c r="C50" t="s">
        <v>54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B15" sqref="B15"/>
    </sheetView>
  </sheetViews>
  <sheetFormatPr baseColWidth="10" defaultRowHeight="12.75" x14ac:dyDescent="0.2"/>
  <cols>
    <col min="5" max="5" width="14.109375" customWidth="1"/>
  </cols>
  <sheetData>
    <row r="1" spans="1:5" x14ac:dyDescent="0.2">
      <c r="A1" t="s">
        <v>66</v>
      </c>
    </row>
    <row r="3" spans="1:5" ht="14.25" x14ac:dyDescent="0.25">
      <c r="A3" s="4" t="s">
        <v>42</v>
      </c>
      <c r="B3" s="4">
        <f>'Nebenrechnung Sys. Euroval'!B25</f>
        <v>0.1</v>
      </c>
      <c r="C3" s="4" t="s">
        <v>24</v>
      </c>
      <c r="D3" s="4" t="s">
        <v>43</v>
      </c>
    </row>
    <row r="4" spans="1:5" ht="14.25" x14ac:dyDescent="0.25">
      <c r="A4" s="2" t="s">
        <v>67</v>
      </c>
      <c r="B4" s="2">
        <v>1.2</v>
      </c>
      <c r="C4" s="2" t="s">
        <v>29</v>
      </c>
      <c r="D4" s="2" t="s">
        <v>68</v>
      </c>
    </row>
    <row r="5" spans="1:5" x14ac:dyDescent="0.2">
      <c r="A5" t="s">
        <v>19</v>
      </c>
      <c r="B5">
        <v>10.8</v>
      </c>
      <c r="C5" t="s">
        <v>27</v>
      </c>
      <c r="D5" t="s">
        <v>28</v>
      </c>
    </row>
    <row r="6" spans="1:5" ht="14.25" x14ac:dyDescent="0.25">
      <c r="A6" s="4" t="s">
        <v>23</v>
      </c>
      <c r="B6" s="4">
        <f>'Nebenrechnung Sys. Euroval'!B12</f>
        <v>0</v>
      </c>
      <c r="C6" s="4" t="s">
        <v>31</v>
      </c>
      <c r="D6" s="4" t="s">
        <v>32</v>
      </c>
    </row>
    <row r="7" spans="1:5" ht="14.25" x14ac:dyDescent="0.25">
      <c r="A7" s="2" t="s">
        <v>69</v>
      </c>
      <c r="B7" s="2">
        <v>0.17</v>
      </c>
      <c r="C7" s="2" t="s">
        <v>31</v>
      </c>
      <c r="D7" s="2" t="s">
        <v>70</v>
      </c>
    </row>
    <row r="9" spans="1:5" ht="14.25" x14ac:dyDescent="0.25">
      <c r="A9" s="4" t="s">
        <v>71</v>
      </c>
      <c r="B9" s="10">
        <f>0.05/0.04</f>
        <v>1.25</v>
      </c>
      <c r="C9" s="4" t="s">
        <v>31</v>
      </c>
      <c r="D9" s="4" t="s">
        <v>32</v>
      </c>
      <c r="E9" s="4" t="s">
        <v>75</v>
      </c>
    </row>
    <row r="10" spans="1:5" ht="14.25" x14ac:dyDescent="0.25">
      <c r="A10" s="4" t="s">
        <v>72</v>
      </c>
      <c r="B10" s="10">
        <f>0.25/2.33</f>
        <v>0.1072961373390558</v>
      </c>
      <c r="C10" s="4" t="s">
        <v>31</v>
      </c>
      <c r="D10" s="4" t="s">
        <v>32</v>
      </c>
      <c r="E10" s="4" t="s">
        <v>74</v>
      </c>
    </row>
    <row r="11" spans="1:5" ht="14.25" x14ac:dyDescent="0.25">
      <c r="A11" s="4" t="s">
        <v>73</v>
      </c>
      <c r="B11" s="10">
        <f>0.015/1</f>
        <v>1.4999999999999999E-2</v>
      </c>
      <c r="C11" s="4" t="s">
        <v>31</v>
      </c>
      <c r="D11" s="4" t="s">
        <v>32</v>
      </c>
      <c r="E11" s="4" t="s">
        <v>76</v>
      </c>
    </row>
    <row r="13" spans="1:5" ht="14.25" x14ac:dyDescent="0.25">
      <c r="A13" t="s">
        <v>62</v>
      </c>
      <c r="B13">
        <f>Leistungsberechnung!C10</f>
        <v>15</v>
      </c>
      <c r="C13" s="2" t="s">
        <v>8</v>
      </c>
      <c r="D13" s="2" t="s">
        <v>78</v>
      </c>
    </row>
    <row r="14" spans="1:5" ht="14.25" x14ac:dyDescent="0.25">
      <c r="A14" s="4" t="s">
        <v>77</v>
      </c>
      <c r="B14" s="4">
        <v>18</v>
      </c>
      <c r="C14" s="4" t="s">
        <v>8</v>
      </c>
      <c r="D14" s="4" t="s">
        <v>79</v>
      </c>
    </row>
    <row r="16" spans="1:5" ht="14.25" x14ac:dyDescent="0.25">
      <c r="A16" s="1" t="s">
        <v>80</v>
      </c>
      <c r="B16" s="1">
        <f>1/B5+B6+B3/B4</f>
        <v>0.17592592592592593</v>
      </c>
      <c r="C16" s="1" t="s">
        <v>31</v>
      </c>
      <c r="D16" s="1" t="s">
        <v>82</v>
      </c>
    </row>
    <row r="17" spans="1:4" ht="14.25" x14ac:dyDescent="0.25">
      <c r="A17" s="1" t="s">
        <v>81</v>
      </c>
      <c r="B17" s="11">
        <f>B9+B10+B11+B7</f>
        <v>1.5422961373390556</v>
      </c>
      <c r="C17" s="1" t="s">
        <v>31</v>
      </c>
      <c r="D17" s="1" t="s">
        <v>83</v>
      </c>
    </row>
    <row r="19" spans="1:4" ht="14.25" x14ac:dyDescent="0.25">
      <c r="A19" s="1" t="s">
        <v>84</v>
      </c>
      <c r="B19" s="11">
        <f>1/B17*(B16*Leistungsberechnung!C18+B13-B14)</f>
        <v>4.061653463569205</v>
      </c>
      <c r="C19" s="1" t="s">
        <v>85</v>
      </c>
      <c r="D19" s="1" t="s">
        <v>86</v>
      </c>
    </row>
    <row r="21" spans="1:4" x14ac:dyDescent="0.2">
      <c r="A21" s="2" t="s">
        <v>87</v>
      </c>
    </row>
    <row r="23" spans="1:4" x14ac:dyDescent="0.2">
      <c r="A23" t="s">
        <v>88</v>
      </c>
    </row>
    <row r="25" spans="1:4" x14ac:dyDescent="0.2">
      <c r="B25" s="12">
        <f>B19/Leistungsberechnung!C18</f>
        <v>7.7129655930759863E-2</v>
      </c>
    </row>
    <row r="27" spans="1:4" x14ac:dyDescent="0.2">
      <c r="A27" t="s">
        <v>89</v>
      </c>
    </row>
    <row r="29" spans="1:4" x14ac:dyDescent="0.2">
      <c r="A29" s="3" t="s">
        <v>11</v>
      </c>
      <c r="B29" s="3">
        <f>1/((1/6.7)+((1.144/PI())*'Nebenrechnung Sys. Euroval'!B41*'Nebenrechnung Sys. Euroval'!B18*((1/(2*'Nebenrechnung Sys. Euroval'!B50))*LN('Nebenrechnung Sys. Euroval'!B32/('Nebenrechnung Sys. Euroval'!B32-2*'Nebenrechnung Sys. Euroval'!B48))-(1/(2*0.35))*LN('Nebenrechnung Sys. Euroval'!B32/('Nebenrechnung Sys. Euroval'!B32-2*0.002)))))</f>
        <v>6.1664056239072531</v>
      </c>
    </row>
    <row r="31" spans="1:4" ht="14.25" x14ac:dyDescent="0.25">
      <c r="A31" s="1" t="s">
        <v>56</v>
      </c>
      <c r="B31" t="s">
        <v>57</v>
      </c>
      <c r="C31">
        <f>B29*'Nebenrechnung Sys. Euroval'!B41</f>
        <v>5.416466292273296</v>
      </c>
    </row>
    <row r="33" spans="1:4" x14ac:dyDescent="0.2">
      <c r="A33" s="8" t="s">
        <v>58</v>
      </c>
      <c r="B33" s="7" t="s">
        <v>59</v>
      </c>
      <c r="C33" s="9">
        <f>C31*Leistungsberechnung!C11</f>
        <v>52.498771180118112</v>
      </c>
      <c r="D33" s="7" t="s">
        <v>85</v>
      </c>
    </row>
    <row r="35" spans="1:4" x14ac:dyDescent="0.2">
      <c r="A35" t="s">
        <v>90</v>
      </c>
    </row>
    <row r="36" spans="1:4" x14ac:dyDescent="0.2">
      <c r="A36" t="s">
        <v>93</v>
      </c>
    </row>
    <row r="38" spans="1:4" ht="14.25" x14ac:dyDescent="0.25">
      <c r="A38" s="1" t="s">
        <v>91</v>
      </c>
      <c r="B38" s="11">
        <f>C33+B19</f>
        <v>56.56042464368732</v>
      </c>
      <c r="C38" s="1" t="s">
        <v>85</v>
      </c>
      <c r="D38" s="1" t="s">
        <v>92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Leistungsberechnung</vt:lpstr>
      <vt:lpstr>Nebenrechnung Sys. Euroval</vt:lpstr>
      <vt:lpstr>Wärmeverlust nach unten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</dc:creator>
  <cp:lastModifiedBy> </cp:lastModifiedBy>
  <dcterms:created xsi:type="dcterms:W3CDTF">2009-07-15T11:52:09Z</dcterms:created>
  <dcterms:modified xsi:type="dcterms:W3CDTF">2012-10-02T09:00:43Z</dcterms:modified>
</cp:coreProperties>
</file>